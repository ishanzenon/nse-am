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shanGarg\Downloads\"/>
    </mc:Choice>
  </mc:AlternateContent>
  <xr:revisionPtr revIDLastSave="0" documentId="13_ncr:1_{97668E8C-6E92-428A-84F5-D5036DBFC7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Data" sheetId="1" r:id="rId1"/>
  </sheets>
  <definedNames>
    <definedName name="BLOCK_ANCHOR">FuData!$A$1</definedName>
    <definedName name="HDR_EXPIRY">FuData!$C$2</definedName>
    <definedName name="HDR_OVERLAP_START_DT">FuData!$C$4</definedName>
    <definedName name="HDR_START_DT">FuData!$C$3</definedName>
    <definedName name="SUM_90PCT_MAX_PERMITTED">FuData!$H$2</definedName>
    <definedName name="SUM_MAX_OI_CONTRACTS">FuData!$H$3</definedName>
    <definedName name="SUM_MAX_PERMITTED_CONTRACTS">FuData!$G$1</definedName>
    <definedName name="TABLE_HEADERS">FuData!$A$5:$P$5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 s="1"/>
  <c r="J3" i="1"/>
  <c r="N2" i="1"/>
  <c r="N1" i="1"/>
  <c r="M1" i="1"/>
  <c r="H1" i="1"/>
  <c r="B1" i="1"/>
</calcChain>
</file>

<file path=xl/sharedStrings.xml><?xml version="1.0" encoding="utf-8"?>
<sst xmlns="http://schemas.openxmlformats.org/spreadsheetml/2006/main" count="29" uniqueCount="29">
  <si>
    <t>Symbol =</t>
  </si>
  <si>
    <t>Lot Size =</t>
  </si>
  <si>
    <t>Max. Contracts =</t>
  </si>
  <si>
    <t>Opening OI Contracts =</t>
  </si>
  <si>
    <t>Opening Settle Price</t>
  </si>
  <si>
    <t>Expiry =</t>
  </si>
  <si>
    <t>90% of Max. OI Contracts =</t>
  </si>
  <si>
    <t>Present OI Contracts =</t>
  </si>
  <si>
    <t>Present settle Price</t>
  </si>
  <si>
    <t>Start dt. =</t>
  </si>
  <si>
    <t>Max. OI Contracts month =</t>
  </si>
  <si>
    <t>Rows =</t>
  </si>
  <si>
    <t>Overlap Start dt. =</t>
  </si>
  <si>
    <t>Instrument</t>
  </si>
  <si>
    <t>Symbol</t>
  </si>
  <si>
    <t>Date</t>
  </si>
  <si>
    <t>Expiry</t>
  </si>
  <si>
    <t>Open</t>
  </si>
  <si>
    <t>High</t>
  </si>
  <si>
    <t>Low</t>
  </si>
  <si>
    <t>Close</t>
  </si>
  <si>
    <t>LTP</t>
  </si>
  <si>
    <t>Settle Price</t>
  </si>
  <si>
    <t>No. of contracts</t>
  </si>
  <si>
    <t>Open Int</t>
  </si>
  <si>
    <t>OI Contracts</t>
  </si>
  <si>
    <t xml:space="preserve"> Change in OI Contracts</t>
  </si>
  <si>
    <t>Turnover in lacs</t>
  </si>
  <si>
    <t>Change in 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</si>
</sst>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2" borderId="1" xfId="0" applyNumberFormat="1" applyFill="1" applyBorder="1" applyProtection="1">
      <protection hidden="1"/>
    </xf>
    <xf numFmtId="49" fontId="0" fillId="2" borderId="1" xfId="0" applyNumberFormat="1" applyFill="1" applyBorder="1" applyProtection="1">
      <protection locked="0" hidden="1"/>
    </xf>
    <xf numFmtId="49" fontId="0" fillId="3" borderId="1" xfId="0" applyNumberFormat="1" applyFill="1" applyBorder="1" applyProtection="1">
      <protection hidden="1"/>
    </xf>
    <xf numFmtId="1" fontId="0" fillId="3" borderId="2" xfId="0" applyNumberFormat="1" applyFill="1" applyBorder="1" applyAlignment="1" applyProtection="1">
      <alignment horizontal="left"/>
      <protection locked="0"/>
    </xf>
    <xf numFmtId="0" fontId="0" fillId="0" borderId="3" xfId="0" applyBorder="1" applyProtection="1">
      <protection hidden="1"/>
    </xf>
    <xf numFmtId="1" fontId="0" fillId="5" borderId="1" xfId="0" applyNumberFormat="1" applyFill="1" applyBorder="1" applyProtection="1">
      <protection locked="0"/>
    </xf>
    <xf numFmtId="1" fontId="1" fillId="6" borderId="1" xfId="0" applyNumberFormat="1" applyFont="1" applyFill="1" applyBorder="1" applyProtection="1">
      <protection hidden="1"/>
    </xf>
    <xf numFmtId="0" fontId="0" fillId="0" borderId="0" xfId="0" applyProtection="1">
      <protection hidden="1"/>
    </xf>
    <xf numFmtId="1" fontId="2" fillId="7" borderId="1" xfId="0" applyNumberFormat="1" applyFont="1" applyFill="1" applyBorder="1" applyProtection="1">
      <protection hidden="1"/>
    </xf>
    <xf numFmtId="2" fontId="2" fillId="7" borderId="1" xfId="0" applyNumberFormat="1" applyFont="1" applyFill="1" applyBorder="1" applyProtection="1">
      <protection hidden="1"/>
    </xf>
    <xf numFmtId="0" fontId="0" fillId="8" borderId="2" xfId="0" applyFill="1" applyBorder="1" applyProtection="1">
      <protection hidden="1"/>
    </xf>
    <xf numFmtId="15" fontId="3" fillId="9" borderId="3" xfId="0" applyNumberFormat="1" applyFont="1" applyFill="1" applyBorder="1" applyProtection="1">
      <protection locked="0"/>
    </xf>
    <xf numFmtId="1" fontId="4" fillId="7" borderId="5" xfId="0" applyNumberFormat="1" applyFont="1" applyFill="1" applyBorder="1" applyProtection="1">
      <protection hidden="1"/>
    </xf>
    <xf numFmtId="2" fontId="4" fillId="10" borderId="1" xfId="0" applyNumberFormat="1" applyFont="1" applyFill="1" applyBorder="1" applyProtection="1">
      <protection hidden="1"/>
    </xf>
    <xf numFmtId="0" fontId="0" fillId="11" borderId="2" xfId="0" applyFill="1" applyBorder="1" applyProtection="1">
      <protection hidden="1"/>
    </xf>
    <xf numFmtId="165" fontId="0" fillId="11" borderId="3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1" fontId="0" fillId="0" borderId="0" xfId="0" applyNumberFormat="1" applyProtection="1">
      <protection hidden="1"/>
    </xf>
    <xf numFmtId="49" fontId="0" fillId="0" borderId="6" xfId="0" applyNumberFormat="1" applyBorder="1" applyAlignment="1" applyProtection="1">
      <alignment horizontal="center" wrapText="1"/>
      <protection hidden="1"/>
    </xf>
    <xf numFmtId="2" fontId="0" fillId="0" borderId="6" xfId="0" applyNumberFormat="1" applyBorder="1" applyAlignment="1" applyProtection="1">
      <alignment horizontal="center" wrapText="1"/>
      <protection hidden="1"/>
    </xf>
    <xf numFmtId="0" fontId="0" fillId="12" borderId="1" xfId="0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49" fontId="0" fillId="4" borderId="1" xfId="0" applyNumberFormat="1" applyFill="1" applyBorder="1" applyAlignment="1" applyProtection="1">
      <alignment horizontal="left"/>
      <protection hidden="1"/>
    </xf>
    <xf numFmtId="49" fontId="0" fillId="4" borderId="1" xfId="0" applyNumberFormat="1" applyFill="1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N6" sqref="N6"/>
    </sheetView>
  </sheetViews>
  <sheetFormatPr defaultRowHeight="14.4" x14ac:dyDescent="0.3"/>
  <cols>
    <col min="1" max="1" width="10.88671875" customWidth="1"/>
    <col min="2" max="2" width="7.5546875" customWidth="1"/>
    <col min="3" max="3" width="10" customWidth="1"/>
    <col min="4" max="4" width="9.33203125" customWidth="1"/>
    <col min="5" max="5" width="7.5546875" customWidth="1"/>
    <col min="6" max="6" width="13" customWidth="1"/>
    <col min="7" max="7" width="9" customWidth="1"/>
    <col min="8" max="8" width="7.5546875" customWidth="1"/>
    <col min="9" max="16" width="13" customWidth="1"/>
  </cols>
  <sheetData>
    <row r="1" spans="1:16" x14ac:dyDescent="0.3">
      <c r="A1" s="1" t="s">
        <v>0</v>
      </c>
      <c r="B1" s="2">
        <f>FuData!$B$6</f>
        <v>0</v>
      </c>
      <c r="C1" s="3" t="s">
        <v>1</v>
      </c>
      <c r="D1" s="4">
        <v>5000</v>
      </c>
      <c r="E1" s="23" t="s">
        <v>2</v>
      </c>
      <c r="F1" s="22"/>
      <c r="G1" s="6"/>
      <c r="H1" s="7">
        <f>G$1/D$1</f>
        <v>0</v>
      </c>
      <c r="I1" s="8"/>
      <c r="J1" s="24" t="s">
        <v>3</v>
      </c>
      <c r="K1" s="25"/>
      <c r="L1" s="22"/>
      <c r="M1" s="9" t="e">
        <f>VLOOKUP(C3,C6:P75,13,TRUE)</f>
        <v>#N/A</v>
      </c>
      <c r="N1" s="10" t="e">
        <f>VLOOKUP(C3,C6:P75,8,TRUE)</f>
        <v>#N/A</v>
      </c>
      <c r="O1" s="23" t="s">
        <v>4</v>
      </c>
      <c r="P1" s="22"/>
    </row>
    <row r="2" spans="1:16" x14ac:dyDescent="0.3">
      <c r="A2" s="8"/>
      <c r="B2" s="11" t="s">
        <v>5</v>
      </c>
      <c r="C2" s="12"/>
      <c r="D2" s="8"/>
      <c r="E2" s="24" t="s">
        <v>6</v>
      </c>
      <c r="F2" s="25"/>
      <c r="G2" s="22"/>
      <c r="H2" s="7"/>
      <c r="I2" s="8"/>
      <c r="J2" s="24" t="s">
        <v>7</v>
      </c>
      <c r="K2" s="25"/>
      <c r="L2" s="22"/>
      <c r="M2" s="13" t="e">
        <f>INDEX(A6:P75,M3,15)</f>
        <v>#VALUE!</v>
      </c>
      <c r="N2" s="14" t="e">
        <f>INDEX(A6:P75,M3,10)</f>
        <v>#VALUE!</v>
      </c>
      <c r="O2" s="23" t="s">
        <v>8</v>
      </c>
      <c r="P2" s="22"/>
    </row>
    <row r="3" spans="1:16" x14ac:dyDescent="0.3">
      <c r="A3" s="8"/>
      <c r="B3" s="15" t="s">
        <v>9</v>
      </c>
      <c r="C3" s="16"/>
      <c r="D3" s="8"/>
      <c r="E3" s="24" t="s">
        <v>10</v>
      </c>
      <c r="F3" s="25"/>
      <c r="G3" s="22"/>
      <c r="H3" s="7"/>
      <c r="I3" s="8"/>
      <c r="J3" s="21" t="str">
        <f>IF(H3&lt;H2,"OI Low","OI Peaking")</f>
        <v>OI Peaking</v>
      </c>
      <c r="K3" s="22"/>
      <c r="L3" s="17" t="s">
        <v>11</v>
      </c>
      <c r="M3" s="5">
        <f>COUNTA(A6:A75)</f>
        <v>0</v>
      </c>
      <c r="N3" s="18"/>
      <c r="O3" s="8"/>
      <c r="P3" s="8"/>
    </row>
    <row r="4" spans="1:16" ht="15" customHeight="1" x14ac:dyDescent="0.3">
      <c r="A4" s="8"/>
      <c r="B4" s="15" t="s">
        <v>12</v>
      </c>
      <c r="C4" s="1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43.8" customHeight="1" x14ac:dyDescent="0.3">
      <c r="A5" s="19" t="s">
        <v>13</v>
      </c>
      <c r="B5" s="19" t="s">
        <v>14</v>
      </c>
      <c r="C5" s="19" t="s">
        <v>15</v>
      </c>
      <c r="D5" s="19" t="s">
        <v>16</v>
      </c>
      <c r="E5" s="19" t="s">
        <v>17</v>
      </c>
      <c r="F5" s="19" t="s">
        <v>18</v>
      </c>
      <c r="G5" s="19" t="s">
        <v>19</v>
      </c>
      <c r="H5" s="19" t="s">
        <v>20</v>
      </c>
      <c r="I5" s="20" t="s">
        <v>21</v>
      </c>
      <c r="J5" s="20" t="s">
        <v>22</v>
      </c>
      <c r="K5" s="19" t="s">
        <v>23</v>
      </c>
      <c r="L5" s="19" t="s">
        <v>27</v>
      </c>
      <c r="M5" s="19" t="s">
        <v>24</v>
      </c>
      <c r="N5" s="19" t="s">
        <v>28</v>
      </c>
      <c r="O5" s="19" t="s">
        <v>25</v>
      </c>
      <c r="P5" s="19" t="s">
        <v>26</v>
      </c>
    </row>
  </sheetData>
  <mergeCells count="8">
    <mergeCell ref="J3:K3"/>
    <mergeCell ref="O2:P2"/>
    <mergeCell ref="J2:L2"/>
    <mergeCell ref="E2:G2"/>
    <mergeCell ref="J1:L1"/>
    <mergeCell ref="E1:F1"/>
    <mergeCell ref="O1:P1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FuData</vt:lpstr>
      <vt:lpstr>BLOCK_ANCHOR</vt:lpstr>
      <vt:lpstr>HDR_EXPIRY</vt:lpstr>
      <vt:lpstr>HDR_OVERLAP_START_DT</vt:lpstr>
      <vt:lpstr>HDR_START_DT</vt:lpstr>
      <vt:lpstr>SUM_90PCT_MAX_PERMITTED</vt:lpstr>
      <vt:lpstr>SUM_MAX_OI_CONTRACTS</vt:lpstr>
      <vt:lpstr>SUM_MAX_PERMITTED_CONTRACTS</vt:lpstr>
      <vt:lpstr>TABLE_HEADERS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Garg</cp:lastModifiedBy>
  <dcterms:created xsi:type="dcterms:W3CDTF">2025-12-05T18:29:11Z</dcterms:created>
  <dcterms:modified xsi:type="dcterms:W3CDTF">2025-12-05T18:42:22Z</dcterms:modified>
</cp:coreProperties>
</file>